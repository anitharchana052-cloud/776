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116aad2db31a879/Desktop/Activity/776/"/>
    </mc:Choice>
  </mc:AlternateContent>
  <xr:revisionPtr revIDLastSave="2" documentId="8_{C875F731-EB5D-4018-B92E-DB6DE58EB0C9}" xr6:coauthVersionLast="47" xr6:coauthVersionMax="47" xr10:uidLastSave="{87079169-673C-4A6A-BF9B-8A45C7693672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I7" i="2"/>
  <c r="J7" i="2" s="1"/>
  <c r="I8" i="2"/>
  <c r="J8" i="2" s="1"/>
  <c r="I9" i="2"/>
  <c r="I10" i="2"/>
  <c r="I11" i="2"/>
  <c r="I12" i="2"/>
  <c r="I13" i="2"/>
  <c r="I14" i="2"/>
  <c r="I15" i="2"/>
  <c r="I16" i="2"/>
  <c r="I6" i="2"/>
  <c r="J6" i="2" s="1"/>
  <c r="I17" i="2"/>
  <c r="J17" i="2" s="1"/>
  <c r="I18" i="2"/>
  <c r="J18" i="2" s="1"/>
  <c r="I36" i="2"/>
  <c r="J36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J20" i="2"/>
  <c r="I19" i="2"/>
  <c r="J19" i="2" s="1"/>
</calcChain>
</file>

<file path=xl/sharedStrings.xml><?xml version="1.0" encoding="utf-8"?>
<sst xmlns="http://schemas.openxmlformats.org/spreadsheetml/2006/main" count="191" uniqueCount="87">
  <si>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</si>
  <si>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</si>
  <si>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</si>
  <si>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</si>
  <si>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</si>
  <si>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</si>
  <si>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</si>
  <si>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</si>
  <si>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</si>
  <si>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</si>
  <si>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</si>
  <si>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</si>
  <si>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</si>
  <si>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</si>
  <si>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</si>
  <si>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</si>
  <si>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</si>
  <si>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</si>
  <si>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</si>
  <si>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</si>
  <si>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</si>
  <si>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</si>
  <si>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</si>
  <si>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</si>
  <si>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</si>
  <si>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</si>
  <si>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</si>
  <si>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</si>
  <si>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</si>
  <si>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</si>
  <si>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</si>
  <si>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</si>
  <si>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</si>
  <si>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</si>
  <si>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</si>
  <si>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</si>
  <si>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</si>
  <si>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</si>
  <si>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</si>
  <si>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</si>
  <si>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</si>
  <si>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</si>
  <si>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</si>
  <si>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</si>
  <si>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</si>
  <si>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</si>
  <si>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</si>
  <si>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</si>
  <si>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</si>
  <si>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</si>
  <si>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</si>
  <si>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</si>
  <si>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</si>
  <si>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</si>
  <si>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ARCHANA A</t>
  </si>
  <si>
    <t>8hr</t>
  </si>
  <si>
    <t>MCA/D1P2632</t>
  </si>
  <si>
    <t>Neutral</t>
  </si>
  <si>
    <t>good</t>
  </si>
  <si>
    <t>happy</t>
  </si>
  <si>
    <t>neutral</t>
  </si>
  <si>
    <t>low</t>
  </si>
  <si>
    <t>satisfied</t>
  </si>
  <si>
    <t>high</t>
  </si>
  <si>
    <t>satisfed</t>
  </si>
  <si>
    <t>satiisfed</t>
  </si>
  <si>
    <t>satisifed</t>
  </si>
  <si>
    <t>Low</t>
  </si>
  <si>
    <t>High</t>
  </si>
  <si>
    <t>2026_09-18</t>
  </si>
  <si>
    <t>bit tired during the class</t>
  </si>
  <si>
    <t>it was a good even we have 5 class are there</t>
  </si>
  <si>
    <t>contiunes 7 class are there so it little bit headche</t>
  </si>
  <si>
    <t>it’s a neutral day nothing else</t>
  </si>
  <si>
    <t>it was a good day</t>
  </si>
  <si>
    <t>it little  bit of bad day because we have 9 30 to till 5 clock class so it was little bit headche</t>
  </si>
  <si>
    <t>it’s a normal day</t>
  </si>
  <si>
    <t>its  weekend so it was good day</t>
  </si>
  <si>
    <t>it was a Sunday so I have to study for my ca</t>
  </si>
  <si>
    <t xml:space="preserve">it was a normal day </t>
  </si>
  <si>
    <t xml:space="preserve"> today I have class till eveing so it’s a boring day</t>
  </si>
  <si>
    <t>it’s a good day the class are very understanding</t>
  </si>
  <si>
    <t>today iam so tierd</t>
  </si>
  <si>
    <t>it was a noramal day</t>
  </si>
  <si>
    <t>little bit tired after the class</t>
  </si>
  <si>
    <t>tired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</si>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</sst>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1"/>
  <sheetViews>
    <sheetView showGridLines="0" tabSelected="1" zoomScale="87" zoomScaleNormal="55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C42" sqref="C4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54</v>
      </c>
      <c r="C2" s="21"/>
      <c r="D2" s="21"/>
      <c r="E2" s="6" t="s">
        <v>31</v>
      </c>
      <c r="F2" s="21">
        <v>12622730</v>
      </c>
      <c r="G2" s="21"/>
    </row>
    <row r="3" spans="1:14" ht="19.5" customHeight="1" x14ac:dyDescent="0.3">
      <c r="A3" s="6" t="s">
        <v>32</v>
      </c>
      <c r="B3" s="21" t="s">
        <v>56</v>
      </c>
      <c r="C3" s="21"/>
      <c r="D3" s="21"/>
      <c r="E3" s="6" t="s">
        <v>33</v>
      </c>
      <c r="F3" s="21" t="s">
        <v>86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46247</v>
      </c>
      <c r="B6" s="9" t="s">
        <v>55</v>
      </c>
      <c r="C6" s="9">
        <v>30</v>
      </c>
      <c r="D6" s="9">
        <v>30</v>
      </c>
      <c r="E6" s="9">
        <v>20</v>
      </c>
      <c r="F6" s="9">
        <v>180</v>
      </c>
      <c r="G6" s="9">
        <v>3</v>
      </c>
      <c r="H6" s="9">
        <v>30</v>
      </c>
      <c r="I6" s="10">
        <f t="shared" ref="I6:I79" si="0">IF(SUM(B6:F6,H6)=0,"",SUM(B6:F6,H6))</f>
        <v>290</v>
      </c>
      <c r="J6" s="10">
        <f t="shared" ref="J6:J79" si="1">IF(I6="","",1440-I6)</f>
        <v>1150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8">
        <v>46251</v>
      </c>
      <c r="B7" s="9">
        <v>400</v>
      </c>
      <c r="C7" s="9">
        <v>12</v>
      </c>
      <c r="D7" s="9">
        <v>30</v>
      </c>
      <c r="E7" s="9">
        <v>15</v>
      </c>
      <c r="F7" s="9">
        <v>300</v>
      </c>
      <c r="G7" s="9">
        <v>6</v>
      </c>
      <c r="H7" s="9">
        <v>200</v>
      </c>
      <c r="I7" s="10">
        <f t="shared" si="0"/>
        <v>957</v>
      </c>
      <c r="J7" s="10">
        <f t="shared" si="1"/>
        <v>483</v>
      </c>
      <c r="K7" s="11" t="s">
        <v>49</v>
      </c>
      <c r="L7" s="11" t="s">
        <v>50</v>
      </c>
      <c r="M7" s="11" t="s">
        <v>68</v>
      </c>
      <c r="N7" s="12" t="s">
        <v>81</v>
      </c>
    </row>
    <row r="8" spans="1:14" x14ac:dyDescent="0.3">
      <c r="A8" s="8">
        <v>46252</v>
      </c>
      <c r="B8" s="9">
        <v>300</v>
      </c>
      <c r="C8" s="9">
        <v>15</v>
      </c>
      <c r="D8" s="9">
        <v>25</v>
      </c>
      <c r="E8" s="9">
        <v>10</v>
      </c>
      <c r="F8" s="9">
        <v>350</v>
      </c>
      <c r="G8" s="9">
        <v>7</v>
      </c>
      <c r="H8" s="9">
        <v>100</v>
      </c>
      <c r="I8" s="10">
        <f t="shared" si="0"/>
        <v>800</v>
      </c>
      <c r="J8" s="10">
        <f t="shared" si="1"/>
        <v>640</v>
      </c>
      <c r="K8" s="11" t="s">
        <v>49</v>
      </c>
      <c r="L8" s="11" t="s">
        <v>50</v>
      </c>
      <c r="M8" s="11" t="s">
        <v>51</v>
      </c>
      <c r="N8" s="12" t="s">
        <v>59</v>
      </c>
    </row>
    <row r="9" spans="1:14" x14ac:dyDescent="0.3">
      <c r="A9" s="8">
        <v>46253</v>
      </c>
      <c r="B9" s="9">
        <v>400</v>
      </c>
      <c r="C9" s="9">
        <v>20</v>
      </c>
      <c r="D9" s="9">
        <v>30</v>
      </c>
      <c r="E9" s="9">
        <v>10</v>
      </c>
      <c r="F9" s="9">
        <v>300</v>
      </c>
      <c r="G9" s="9">
        <v>6</v>
      </c>
      <c r="H9" s="9">
        <v>100</v>
      </c>
      <c r="I9" s="10">
        <f t="shared" si="0"/>
        <v>860</v>
      </c>
      <c r="J9" s="10">
        <f t="shared" si="1"/>
        <v>580</v>
      </c>
      <c r="K9" s="11" t="s">
        <v>57</v>
      </c>
      <c r="L9" s="11" t="s">
        <v>57</v>
      </c>
      <c r="M9" s="11" t="s">
        <v>68</v>
      </c>
      <c r="N9" s="12" t="s">
        <v>59</v>
      </c>
    </row>
    <row r="10" spans="1:14" x14ac:dyDescent="0.3">
      <c r="A10" s="8">
        <v>46254</v>
      </c>
      <c r="B10" s="9">
        <v>300</v>
      </c>
      <c r="C10" s="9">
        <v>10</v>
      </c>
      <c r="D10" s="9">
        <v>25</v>
      </c>
      <c r="E10" s="9">
        <v>20</v>
      </c>
      <c r="F10" s="9">
        <v>200</v>
      </c>
      <c r="G10" s="9">
        <v>4</v>
      </c>
      <c r="H10" s="9">
        <v>100</v>
      </c>
      <c r="I10" s="10">
        <f t="shared" si="0"/>
        <v>655</v>
      </c>
      <c r="J10" s="10">
        <f t="shared" si="1"/>
        <v>785</v>
      </c>
      <c r="K10" s="11" t="s">
        <v>49</v>
      </c>
      <c r="L10" s="11" t="s">
        <v>50</v>
      </c>
      <c r="M10" s="11" t="s">
        <v>51</v>
      </c>
      <c r="N10" s="12" t="s">
        <v>85</v>
      </c>
    </row>
    <row r="11" spans="1:14" x14ac:dyDescent="0.3">
      <c r="A11" s="8">
        <v>46255</v>
      </c>
      <c r="B11" s="9">
        <v>300</v>
      </c>
      <c r="C11" s="9">
        <v>15</v>
      </c>
      <c r="D11" s="9">
        <v>30</v>
      </c>
      <c r="E11" s="9">
        <v>30</v>
      </c>
      <c r="F11" s="9">
        <v>250</v>
      </c>
      <c r="G11" s="9">
        <v>5</v>
      </c>
      <c r="H11" s="9">
        <v>200</v>
      </c>
      <c r="I11" s="10">
        <f t="shared" si="0"/>
        <v>825</v>
      </c>
      <c r="J11" s="10">
        <f t="shared" si="1"/>
        <v>615</v>
      </c>
      <c r="K11" s="11" t="s">
        <v>49</v>
      </c>
      <c r="L11" s="11" t="s">
        <v>50</v>
      </c>
      <c r="M11" s="11" t="s">
        <v>51</v>
      </c>
      <c r="N11" s="12" t="s">
        <v>59</v>
      </c>
    </row>
    <row r="12" spans="1:14" x14ac:dyDescent="0.3">
      <c r="A12" s="8">
        <v>46256</v>
      </c>
      <c r="B12" s="9">
        <v>400</v>
      </c>
      <c r="C12" s="9">
        <v>10</v>
      </c>
      <c r="D12" s="9">
        <v>25</v>
      </c>
      <c r="E12" s="9">
        <v>10</v>
      </c>
      <c r="F12" s="9">
        <v>0</v>
      </c>
      <c r="G12" s="9">
        <v>0</v>
      </c>
      <c r="H12" s="9">
        <v>100</v>
      </c>
      <c r="I12" s="10">
        <f t="shared" si="0"/>
        <v>545</v>
      </c>
      <c r="J12" s="10">
        <f t="shared" si="1"/>
        <v>895</v>
      </c>
      <c r="K12" s="11" t="s">
        <v>57</v>
      </c>
      <c r="L12" s="11" t="s">
        <v>57</v>
      </c>
      <c r="M12" s="11" t="s">
        <v>68</v>
      </c>
      <c r="N12" s="12" t="s">
        <v>85</v>
      </c>
    </row>
    <row r="13" spans="1:14" x14ac:dyDescent="0.3">
      <c r="A13" s="8">
        <v>46257</v>
      </c>
      <c r="B13" s="9">
        <v>600</v>
      </c>
      <c r="C13" s="9">
        <v>15</v>
      </c>
      <c r="D13" s="9">
        <v>30</v>
      </c>
      <c r="E13" s="9">
        <v>20</v>
      </c>
      <c r="F13" s="9">
        <v>0</v>
      </c>
      <c r="G13" s="9">
        <v>0</v>
      </c>
      <c r="H13" s="9">
        <v>300</v>
      </c>
      <c r="I13" s="10">
        <f t="shared" si="0"/>
        <v>965</v>
      </c>
      <c r="J13" s="10">
        <f t="shared" si="1"/>
        <v>475</v>
      </c>
      <c r="K13" s="11" t="s">
        <v>49</v>
      </c>
      <c r="L13" s="11" t="s">
        <v>50</v>
      </c>
      <c r="M13" s="11" t="s">
        <v>68</v>
      </c>
      <c r="N13" s="12" t="s">
        <v>59</v>
      </c>
    </row>
    <row r="14" spans="1:14" ht="28.8" x14ac:dyDescent="0.3">
      <c r="A14" s="8">
        <v>46258</v>
      </c>
      <c r="B14" s="9">
        <v>500</v>
      </c>
      <c r="C14" s="9">
        <v>10</v>
      </c>
      <c r="D14" s="9">
        <v>25</v>
      </c>
      <c r="E14" s="9">
        <v>15</v>
      </c>
      <c r="F14" s="9">
        <v>300</v>
      </c>
      <c r="G14" s="9">
        <v>6</v>
      </c>
      <c r="H14" s="9">
        <v>200</v>
      </c>
      <c r="I14" s="10">
        <f t="shared" si="0"/>
        <v>1050</v>
      </c>
      <c r="J14" s="10">
        <f t="shared" si="1"/>
        <v>390</v>
      </c>
      <c r="K14" s="11" t="s">
        <v>67</v>
      </c>
      <c r="L14" s="11" t="s">
        <v>57</v>
      </c>
      <c r="M14" s="11" t="s">
        <v>68</v>
      </c>
      <c r="N14" s="12" t="s">
        <v>81</v>
      </c>
    </row>
    <row r="15" spans="1:14" x14ac:dyDescent="0.3">
      <c r="A15" s="18">
        <v>46259</v>
      </c>
      <c r="B15" s="9">
        <v>500</v>
      </c>
      <c r="C15" s="9">
        <v>15</v>
      </c>
      <c r="D15" s="9">
        <v>20</v>
      </c>
      <c r="E15" s="9">
        <v>20</v>
      </c>
      <c r="F15" s="9">
        <v>200</v>
      </c>
      <c r="G15" s="9">
        <v>4</v>
      </c>
      <c r="H15" s="9">
        <v>100</v>
      </c>
      <c r="I15" s="10">
        <f t="shared" si="0"/>
        <v>855</v>
      </c>
      <c r="J15" s="10">
        <f t="shared" si="1"/>
        <v>585</v>
      </c>
      <c r="K15" s="11" t="s">
        <v>67</v>
      </c>
      <c r="L15" s="11" t="s">
        <v>57</v>
      </c>
      <c r="M15" s="11" t="s">
        <v>68</v>
      </c>
      <c r="N15" s="12" t="s">
        <v>59</v>
      </c>
    </row>
    <row r="16" spans="1:14" x14ac:dyDescent="0.3">
      <c r="A16" s="13">
        <v>46260</v>
      </c>
      <c r="B16" s="14">
        <v>600</v>
      </c>
      <c r="C16" s="14">
        <v>30</v>
      </c>
      <c r="D16" s="14">
        <v>15</v>
      </c>
      <c r="E16" s="14">
        <v>15</v>
      </c>
      <c r="F16" s="14">
        <v>200</v>
      </c>
      <c r="G16" s="14">
        <v>4</v>
      </c>
      <c r="H16" s="14">
        <v>200</v>
      </c>
      <c r="I16" s="10">
        <f t="shared" si="0"/>
        <v>1060</v>
      </c>
      <c r="J16" s="10">
        <f t="shared" si="1"/>
        <v>380</v>
      </c>
      <c r="K16" s="16" t="s">
        <v>49</v>
      </c>
      <c r="L16" s="16" t="s">
        <v>57</v>
      </c>
      <c r="M16" s="16" t="s">
        <v>51</v>
      </c>
      <c r="N16" s="17" t="s">
        <v>85</v>
      </c>
    </row>
    <row r="17" spans="1:14" x14ac:dyDescent="0.3">
      <c r="A17" s="13">
        <v>46261</v>
      </c>
      <c r="B17" s="14">
        <v>420</v>
      </c>
      <c r="C17" s="14">
        <v>30</v>
      </c>
      <c r="D17" s="14">
        <v>120</v>
      </c>
      <c r="E17" s="14">
        <v>30</v>
      </c>
      <c r="F17" s="14">
        <v>200</v>
      </c>
      <c r="G17" s="14">
        <v>4</v>
      </c>
      <c r="H17" s="14">
        <v>200</v>
      </c>
      <c r="I17" s="15">
        <f t="shared" si="0"/>
        <v>1000</v>
      </c>
      <c r="J17" s="15">
        <f t="shared" si="1"/>
        <v>440</v>
      </c>
      <c r="K17" s="16" t="s">
        <v>57</v>
      </c>
      <c r="L17" s="16" t="s">
        <v>50</v>
      </c>
      <c r="M17" s="16" t="s">
        <v>51</v>
      </c>
      <c r="N17" s="17" t="s">
        <v>73</v>
      </c>
    </row>
    <row r="18" spans="1:14" x14ac:dyDescent="0.3">
      <c r="A18" s="13">
        <v>46262</v>
      </c>
      <c r="B18" s="14">
        <v>540</v>
      </c>
      <c r="C18" s="14">
        <v>90</v>
      </c>
      <c r="D18" s="14">
        <v>90</v>
      </c>
      <c r="E18" s="14">
        <v>30</v>
      </c>
      <c r="F18" s="14">
        <v>200</v>
      </c>
      <c r="G18" s="14">
        <v>5</v>
      </c>
      <c r="H18" s="14">
        <v>400</v>
      </c>
      <c r="I18" s="15">
        <f t="shared" si="0"/>
        <v>1350</v>
      </c>
      <c r="J18" s="15">
        <f t="shared" si="1"/>
        <v>90</v>
      </c>
      <c r="K18" s="16" t="s">
        <v>57</v>
      </c>
      <c r="L18" s="16" t="s">
        <v>50</v>
      </c>
      <c r="M18" s="16" t="s">
        <v>51</v>
      </c>
      <c r="N18" s="17" t="s">
        <v>70</v>
      </c>
    </row>
    <row r="19" spans="1:14" ht="28.8" x14ac:dyDescent="0.3">
      <c r="A19" s="13">
        <v>46263</v>
      </c>
      <c r="B19" s="14">
        <v>400</v>
      </c>
      <c r="C19" s="14">
        <v>40</v>
      </c>
      <c r="D19" s="14">
        <v>100</v>
      </c>
      <c r="E19" s="14">
        <v>20</v>
      </c>
      <c r="F19" s="14">
        <v>0</v>
      </c>
      <c r="G19" s="14">
        <v>0</v>
      </c>
      <c r="H19" s="14">
        <v>200</v>
      </c>
      <c r="I19" s="15">
        <f t="shared" si="0"/>
        <v>760</v>
      </c>
      <c r="J19" s="15">
        <f t="shared" si="1"/>
        <v>680</v>
      </c>
      <c r="K19" s="16" t="s">
        <v>58</v>
      </c>
      <c r="L19" s="16" t="s">
        <v>60</v>
      </c>
      <c r="M19" s="16" t="s">
        <v>61</v>
      </c>
      <c r="N19" s="17" t="s">
        <v>71</v>
      </c>
    </row>
    <row r="20" spans="1:14" x14ac:dyDescent="0.3">
      <c r="A20" s="13">
        <v>46264</v>
      </c>
      <c r="B20" s="14">
        <v>600</v>
      </c>
      <c r="C20" s="14">
        <v>50</v>
      </c>
      <c r="D20" s="14">
        <v>120</v>
      </c>
      <c r="E20" s="14">
        <v>20</v>
      </c>
      <c r="F20" s="14">
        <v>0</v>
      </c>
      <c r="G20" s="14">
        <v>0</v>
      </c>
      <c r="H20" s="14">
        <v>100</v>
      </c>
      <c r="I20" s="15">
        <v>890</v>
      </c>
      <c r="J20" s="15">
        <f t="shared" si="1"/>
        <v>550</v>
      </c>
      <c r="K20" s="16" t="s">
        <v>58</v>
      </c>
      <c r="L20" s="16" t="s">
        <v>62</v>
      </c>
      <c r="M20" s="16" t="s">
        <v>63</v>
      </c>
      <c r="N20" s="17" t="s">
        <v>74</v>
      </c>
    </row>
    <row r="21" spans="1:14" ht="28.8" x14ac:dyDescent="0.3">
      <c r="A21" s="13">
        <v>46265</v>
      </c>
      <c r="B21" s="14">
        <v>450</v>
      </c>
      <c r="C21" s="14">
        <v>10</v>
      </c>
      <c r="D21" s="14">
        <v>120</v>
      </c>
      <c r="E21" s="14">
        <v>10</v>
      </c>
      <c r="F21" s="14">
        <v>200</v>
      </c>
      <c r="G21" s="14">
        <v>5</v>
      </c>
      <c r="H21" s="14">
        <v>100</v>
      </c>
      <c r="I21" s="15">
        <f t="shared" si="0"/>
        <v>890</v>
      </c>
      <c r="J21" s="15">
        <f t="shared" si="1"/>
        <v>550</v>
      </c>
      <c r="K21" s="16" t="s">
        <v>49</v>
      </c>
      <c r="L21" s="16" t="s">
        <v>64</v>
      </c>
      <c r="M21" s="16" t="s">
        <v>63</v>
      </c>
      <c r="N21" s="17" t="s">
        <v>81</v>
      </c>
    </row>
    <row r="22" spans="1:14" x14ac:dyDescent="0.3">
      <c r="A22" s="13">
        <v>46266</v>
      </c>
      <c r="B22" s="14">
        <v>550</v>
      </c>
      <c r="C22" s="14">
        <v>15</v>
      </c>
      <c r="D22" s="14">
        <v>120</v>
      </c>
      <c r="E22" s="14">
        <v>10</v>
      </c>
      <c r="F22" s="14">
        <v>250</v>
      </c>
      <c r="G22" s="14">
        <v>6</v>
      </c>
      <c r="H22" s="14">
        <v>200</v>
      </c>
      <c r="I22" s="15">
        <f t="shared" si="0"/>
        <v>1145</v>
      </c>
      <c r="J22" s="15">
        <f t="shared" si="1"/>
        <v>295</v>
      </c>
      <c r="K22" s="16" t="s">
        <v>58</v>
      </c>
      <c r="L22" s="16" t="s">
        <v>64</v>
      </c>
      <c r="M22" s="16" t="s">
        <v>63</v>
      </c>
      <c r="N22" s="17" t="s">
        <v>82</v>
      </c>
    </row>
    <row r="23" spans="1:14" x14ac:dyDescent="0.3">
      <c r="A23" s="13">
        <v>46267</v>
      </c>
      <c r="B23" s="14">
        <v>700</v>
      </c>
      <c r="C23" s="14">
        <v>20</v>
      </c>
      <c r="D23" s="14">
        <v>80</v>
      </c>
      <c r="E23" s="14">
        <v>30</v>
      </c>
      <c r="F23" s="14">
        <v>200</v>
      </c>
      <c r="G23" s="14">
        <v>6</v>
      </c>
      <c r="H23" s="14">
        <v>200</v>
      </c>
      <c r="I23" s="15">
        <f t="shared" si="0"/>
        <v>1230</v>
      </c>
      <c r="J23" s="15">
        <f t="shared" si="1"/>
        <v>210</v>
      </c>
      <c r="K23" s="16" t="s">
        <v>58</v>
      </c>
      <c r="L23" s="16" t="s">
        <v>65</v>
      </c>
      <c r="M23" s="16" t="s">
        <v>61</v>
      </c>
      <c r="N23" s="17" t="s">
        <v>84</v>
      </c>
    </row>
    <row r="24" spans="1:14" ht="28.8" x14ac:dyDescent="0.3">
      <c r="A24" s="13">
        <v>46268</v>
      </c>
      <c r="B24" s="14">
        <v>600</v>
      </c>
      <c r="C24" s="14">
        <v>10</v>
      </c>
      <c r="D24" s="14">
        <v>100</v>
      </c>
      <c r="E24" s="14">
        <v>25</v>
      </c>
      <c r="F24" s="14">
        <v>300</v>
      </c>
      <c r="G24" s="14">
        <v>6</v>
      </c>
      <c r="H24" s="14">
        <v>100</v>
      </c>
      <c r="I24" s="15">
        <f t="shared" si="0"/>
        <v>1135</v>
      </c>
      <c r="J24" s="15">
        <f t="shared" si="1"/>
        <v>305</v>
      </c>
      <c r="K24" s="16" t="s">
        <v>57</v>
      </c>
      <c r="L24" s="16" t="s">
        <v>60</v>
      </c>
      <c r="M24" s="16" t="s">
        <v>67</v>
      </c>
      <c r="N24" s="17" t="s">
        <v>72</v>
      </c>
    </row>
    <row r="25" spans="1:14" x14ac:dyDescent="0.3">
      <c r="A25" s="13">
        <v>46269</v>
      </c>
      <c r="B25" s="14">
        <v>500</v>
      </c>
      <c r="C25" s="14">
        <v>15</v>
      </c>
      <c r="D25" s="14">
        <v>70</v>
      </c>
      <c r="E25" s="14">
        <v>15</v>
      </c>
      <c r="F25" s="14">
        <v>200</v>
      </c>
      <c r="G25" s="14">
        <v>6</v>
      </c>
      <c r="H25" s="14">
        <v>200</v>
      </c>
      <c r="I25" s="15">
        <f t="shared" si="0"/>
        <v>1000</v>
      </c>
      <c r="J25" s="15">
        <f t="shared" si="1"/>
        <v>440</v>
      </c>
      <c r="K25" s="16" t="s">
        <v>49</v>
      </c>
      <c r="L25" s="16" t="s">
        <v>66</v>
      </c>
      <c r="M25" s="16" t="s">
        <v>63</v>
      </c>
      <c r="N25" s="17" t="s">
        <v>59</v>
      </c>
    </row>
    <row r="26" spans="1:14" x14ac:dyDescent="0.3">
      <c r="A26" s="13">
        <v>46270</v>
      </c>
      <c r="B26" s="14">
        <v>550</v>
      </c>
      <c r="C26" s="14">
        <v>25</v>
      </c>
      <c r="D26" s="14">
        <v>100</v>
      </c>
      <c r="E26" s="14">
        <v>10</v>
      </c>
      <c r="F26" s="14">
        <v>300</v>
      </c>
      <c r="G26" s="14">
        <v>5</v>
      </c>
      <c r="H26" s="14">
        <v>100</v>
      </c>
      <c r="I26" s="15">
        <f t="shared" si="0"/>
        <v>1085</v>
      </c>
      <c r="J26" s="15">
        <f t="shared" si="1"/>
        <v>355</v>
      </c>
      <c r="K26" s="16" t="s">
        <v>61</v>
      </c>
      <c r="L26" s="16" t="s">
        <v>60</v>
      </c>
      <c r="M26" s="16" t="s">
        <v>61</v>
      </c>
      <c r="N26" s="17" t="s">
        <v>79</v>
      </c>
    </row>
    <row r="27" spans="1:14" x14ac:dyDescent="0.3">
      <c r="A27" s="13">
        <v>46271</v>
      </c>
      <c r="B27" s="14">
        <v>660</v>
      </c>
      <c r="C27" s="14">
        <v>70</v>
      </c>
      <c r="D27" s="14">
        <v>80</v>
      </c>
      <c r="E27" s="14">
        <v>25</v>
      </c>
      <c r="F27" s="14">
        <v>200</v>
      </c>
      <c r="G27" s="14">
        <v>4</v>
      </c>
      <c r="H27" s="14">
        <v>100</v>
      </c>
      <c r="I27" s="15">
        <f t="shared" si="0"/>
        <v>1135</v>
      </c>
      <c r="J27" s="15">
        <f t="shared" si="1"/>
        <v>305</v>
      </c>
      <c r="K27" s="16" t="s">
        <v>49</v>
      </c>
      <c r="L27" s="16" t="s">
        <v>66</v>
      </c>
      <c r="M27" s="16" t="s">
        <v>63</v>
      </c>
      <c r="N27" s="17" t="s">
        <v>59</v>
      </c>
    </row>
    <row r="28" spans="1:14" x14ac:dyDescent="0.3">
      <c r="A28" s="13">
        <v>46272</v>
      </c>
      <c r="B28" s="14">
        <v>770</v>
      </c>
      <c r="C28" s="14">
        <v>35</v>
      </c>
      <c r="D28" s="14">
        <v>90</v>
      </c>
      <c r="E28" s="14">
        <v>30</v>
      </c>
      <c r="F28" s="14">
        <v>250</v>
      </c>
      <c r="G28" s="14">
        <v>5</v>
      </c>
      <c r="H28" s="14">
        <v>200</v>
      </c>
      <c r="I28" s="15">
        <f t="shared" si="0"/>
        <v>1375</v>
      </c>
      <c r="J28" s="15">
        <f t="shared" si="1"/>
        <v>65</v>
      </c>
      <c r="K28" s="16" t="s">
        <v>57</v>
      </c>
      <c r="L28" s="16" t="s">
        <v>60</v>
      </c>
      <c r="M28" s="16" t="s">
        <v>61</v>
      </c>
      <c r="N28" s="17" t="s">
        <v>82</v>
      </c>
    </row>
    <row r="29" spans="1:14" ht="28.8" x14ac:dyDescent="0.3">
      <c r="A29" s="13">
        <v>46273</v>
      </c>
      <c r="B29" s="14">
        <v>770</v>
      </c>
      <c r="C29" s="14">
        <v>40</v>
      </c>
      <c r="D29" s="14">
        <v>100</v>
      </c>
      <c r="E29" s="14">
        <v>25</v>
      </c>
      <c r="F29" s="14">
        <v>200</v>
      </c>
      <c r="G29" s="14">
        <v>6</v>
      </c>
      <c r="H29" s="14">
        <v>100</v>
      </c>
      <c r="I29" s="15">
        <f t="shared" si="0"/>
        <v>1235</v>
      </c>
      <c r="J29" s="15">
        <f t="shared" si="1"/>
        <v>205</v>
      </c>
      <c r="K29" s="16" t="s">
        <v>49</v>
      </c>
      <c r="L29" s="16" t="s">
        <v>60</v>
      </c>
      <c r="M29" s="16" t="s">
        <v>63</v>
      </c>
      <c r="N29" s="17" t="s">
        <v>81</v>
      </c>
    </row>
    <row r="30" spans="1:14" x14ac:dyDescent="0.3">
      <c r="A30" s="13">
        <v>46274</v>
      </c>
      <c r="B30" s="14">
        <v>600</v>
      </c>
      <c r="C30" s="14">
        <v>30</v>
      </c>
      <c r="D30" s="14">
        <v>100</v>
      </c>
      <c r="E30" s="14">
        <v>20</v>
      </c>
      <c r="F30" s="14">
        <v>300</v>
      </c>
      <c r="G30" s="14">
        <v>6</v>
      </c>
      <c r="H30" s="14">
        <v>150</v>
      </c>
      <c r="I30" s="15">
        <f t="shared" si="0"/>
        <v>1200</v>
      </c>
      <c r="J30" s="15">
        <f t="shared" si="1"/>
        <v>240</v>
      </c>
      <c r="K30" s="16" t="s">
        <v>57</v>
      </c>
      <c r="L30" s="16" t="s">
        <v>66</v>
      </c>
      <c r="M30" s="16" t="s">
        <v>63</v>
      </c>
      <c r="N30" s="17" t="s">
        <v>59</v>
      </c>
    </row>
    <row r="31" spans="1:14" x14ac:dyDescent="0.3">
      <c r="A31" s="13">
        <v>46275</v>
      </c>
      <c r="B31" s="14">
        <v>600</v>
      </c>
      <c r="C31" s="14">
        <v>20</v>
      </c>
      <c r="D31" s="14">
        <v>120</v>
      </c>
      <c r="E31" s="14">
        <v>10</v>
      </c>
      <c r="F31" s="14">
        <v>250</v>
      </c>
      <c r="G31" s="14">
        <v>4</v>
      </c>
      <c r="H31" s="14">
        <v>200</v>
      </c>
      <c r="I31" s="15">
        <f t="shared" si="0"/>
        <v>1200</v>
      </c>
      <c r="J31" s="15">
        <f t="shared" si="1"/>
        <v>240</v>
      </c>
      <c r="K31" s="16" t="s">
        <v>58</v>
      </c>
      <c r="L31" s="16" t="s">
        <v>64</v>
      </c>
      <c r="M31" s="16" t="s">
        <v>63</v>
      </c>
      <c r="N31" s="17" t="s">
        <v>76</v>
      </c>
    </row>
    <row r="32" spans="1:14" x14ac:dyDescent="0.3">
      <c r="A32" s="13">
        <v>46276</v>
      </c>
      <c r="B32" s="14">
        <v>550</v>
      </c>
      <c r="C32" s="14">
        <v>30</v>
      </c>
      <c r="D32" s="14">
        <v>100</v>
      </c>
      <c r="E32" s="14">
        <v>15</v>
      </c>
      <c r="F32" s="14">
        <v>200</v>
      </c>
      <c r="G32" s="14">
        <v>6</v>
      </c>
      <c r="H32" s="14">
        <v>100</v>
      </c>
      <c r="I32" s="15">
        <f t="shared" si="0"/>
        <v>995</v>
      </c>
      <c r="J32" s="15">
        <f t="shared" si="1"/>
        <v>445</v>
      </c>
      <c r="K32" s="16" t="s">
        <v>58</v>
      </c>
      <c r="L32" s="16" t="s">
        <v>64</v>
      </c>
      <c r="M32" s="16" t="s">
        <v>61</v>
      </c>
      <c r="N32" s="17" t="s">
        <v>59</v>
      </c>
    </row>
    <row r="33" spans="1:14" x14ac:dyDescent="0.3">
      <c r="A33" s="13">
        <v>46277</v>
      </c>
      <c r="B33" s="14">
        <v>500</v>
      </c>
      <c r="C33" s="14">
        <v>20</v>
      </c>
      <c r="D33" s="14">
        <v>90</v>
      </c>
      <c r="E33" s="14">
        <v>10</v>
      </c>
      <c r="F33" s="14">
        <v>0</v>
      </c>
      <c r="G33" s="14">
        <v>0</v>
      </c>
      <c r="H33" s="14">
        <v>200</v>
      </c>
      <c r="I33" s="15">
        <f t="shared" si="0"/>
        <v>820</v>
      </c>
      <c r="J33" s="15">
        <f t="shared" si="1"/>
        <v>620</v>
      </c>
      <c r="K33" s="16" t="s">
        <v>57</v>
      </c>
      <c r="L33" s="16" t="s">
        <v>60</v>
      </c>
      <c r="M33" s="16" t="s">
        <v>68</v>
      </c>
      <c r="N33" s="17" t="s">
        <v>77</v>
      </c>
    </row>
    <row r="34" spans="1:14" ht="28.8" x14ac:dyDescent="0.3">
      <c r="A34" s="13">
        <v>46278</v>
      </c>
      <c r="B34" s="14">
        <v>600</v>
      </c>
      <c r="C34" s="14">
        <v>30</v>
      </c>
      <c r="D34" s="14">
        <v>120</v>
      </c>
      <c r="E34" s="14">
        <v>10</v>
      </c>
      <c r="F34" s="14">
        <v>0</v>
      </c>
      <c r="G34" s="14">
        <v>0</v>
      </c>
      <c r="H34" s="14">
        <v>200</v>
      </c>
      <c r="I34" s="15">
        <f t="shared" si="0"/>
        <v>960</v>
      </c>
      <c r="J34" s="15">
        <f t="shared" si="1"/>
        <v>480</v>
      </c>
      <c r="K34" s="16" t="s">
        <v>58</v>
      </c>
      <c r="L34" s="16" t="s">
        <v>64</v>
      </c>
      <c r="M34" s="16" t="s">
        <v>68</v>
      </c>
      <c r="N34" s="17" t="s">
        <v>78</v>
      </c>
    </row>
    <row r="35" spans="1:14" x14ac:dyDescent="0.3">
      <c r="A35" s="13">
        <v>46279</v>
      </c>
      <c r="B35" s="14">
        <v>500</v>
      </c>
      <c r="C35" s="14">
        <v>20</v>
      </c>
      <c r="D35" s="14">
        <v>120</v>
      </c>
      <c r="E35" s="14">
        <v>10</v>
      </c>
      <c r="F35" s="14">
        <v>200</v>
      </c>
      <c r="G35" s="14">
        <v>4</v>
      </c>
      <c r="H35" s="14">
        <v>150</v>
      </c>
      <c r="I35" s="15">
        <f t="shared" si="0"/>
        <v>1000</v>
      </c>
      <c r="J35" s="15">
        <f t="shared" si="1"/>
        <v>440</v>
      </c>
      <c r="K35" s="16" t="s">
        <v>58</v>
      </c>
      <c r="L35" s="16" t="s">
        <v>64</v>
      </c>
      <c r="M35" s="16" t="s">
        <v>61</v>
      </c>
      <c r="N35" s="17" t="s">
        <v>83</v>
      </c>
    </row>
    <row r="36" spans="1:14" x14ac:dyDescent="0.3">
      <c r="A36" s="13">
        <v>46280</v>
      </c>
      <c r="B36" s="14">
        <v>300</v>
      </c>
      <c r="C36" s="14">
        <v>10</v>
      </c>
      <c r="D36" s="14">
        <v>100</v>
      </c>
      <c r="E36" s="14">
        <v>15</v>
      </c>
      <c r="F36" s="14">
        <v>200</v>
      </c>
      <c r="G36" s="14">
        <v>4</v>
      </c>
      <c r="H36" s="14">
        <v>100</v>
      </c>
      <c r="I36" s="15">
        <f t="shared" si="0"/>
        <v>725</v>
      </c>
      <c r="J36" s="15">
        <f t="shared" si="1"/>
        <v>715</v>
      </c>
      <c r="K36" s="16" t="s">
        <v>49</v>
      </c>
      <c r="L36" s="16" t="s">
        <v>50</v>
      </c>
      <c r="M36" s="16" t="s">
        <v>68</v>
      </c>
      <c r="N36" s="17" t="s">
        <v>74</v>
      </c>
    </row>
    <row r="37" spans="1:14" ht="43.2" x14ac:dyDescent="0.3">
      <c r="A37" s="13">
        <v>46281</v>
      </c>
      <c r="B37" s="14">
        <v>400</v>
      </c>
      <c r="C37" s="14">
        <v>15</v>
      </c>
      <c r="D37" s="14">
        <v>50</v>
      </c>
      <c r="E37" s="14">
        <v>12</v>
      </c>
      <c r="F37" s="14">
        <v>300</v>
      </c>
      <c r="G37" s="14">
        <v>6</v>
      </c>
      <c r="H37" s="14">
        <v>100</v>
      </c>
      <c r="I37" s="15">
        <f t="shared" si="0"/>
        <v>877</v>
      </c>
      <c r="J37" s="15">
        <f t="shared" si="1"/>
        <v>563</v>
      </c>
      <c r="K37" s="16" t="s">
        <v>57</v>
      </c>
      <c r="L37" s="16" t="s">
        <v>50</v>
      </c>
      <c r="M37" s="16" t="s">
        <v>67</v>
      </c>
      <c r="N37" s="17" t="s">
        <v>75</v>
      </c>
    </row>
    <row r="38" spans="1:14" x14ac:dyDescent="0.3">
      <c r="A38" s="13">
        <v>46282</v>
      </c>
      <c r="B38" s="14">
        <v>300</v>
      </c>
      <c r="C38" s="14">
        <v>10</v>
      </c>
      <c r="D38" s="14">
        <v>100</v>
      </c>
      <c r="E38" s="14">
        <v>15</v>
      </c>
      <c r="F38" s="14">
        <v>200</v>
      </c>
      <c r="G38" s="14">
        <v>4</v>
      </c>
      <c r="H38" s="14">
        <v>100</v>
      </c>
      <c r="I38" s="15">
        <f t="shared" si="0"/>
        <v>725</v>
      </c>
      <c r="J38" s="15">
        <f t="shared" si="1"/>
        <v>715</v>
      </c>
      <c r="K38" s="16" t="s">
        <v>49</v>
      </c>
      <c r="L38" s="16" t="s">
        <v>50</v>
      </c>
      <c r="M38" s="16" t="s">
        <v>68</v>
      </c>
      <c r="N38" s="17" t="s">
        <v>74</v>
      </c>
    </row>
    <row r="39" spans="1:14" ht="28.8" x14ac:dyDescent="0.3">
      <c r="A39" s="13" t="s">
        <v>69</v>
      </c>
      <c r="B39" s="14">
        <v>400</v>
      </c>
      <c r="C39" s="14">
        <v>10</v>
      </c>
      <c r="D39" s="14">
        <v>90</v>
      </c>
      <c r="E39" s="14">
        <v>12</v>
      </c>
      <c r="F39" s="14">
        <v>300</v>
      </c>
      <c r="G39" s="14">
        <v>6</v>
      </c>
      <c r="H39" s="14">
        <v>90</v>
      </c>
      <c r="I39" s="15">
        <f t="shared" si="0"/>
        <v>902</v>
      </c>
      <c r="J39" s="15">
        <f t="shared" si="1"/>
        <v>538</v>
      </c>
      <c r="K39" s="16" t="s">
        <v>67</v>
      </c>
      <c r="L39" s="16" t="s">
        <v>57</v>
      </c>
      <c r="M39" s="16" t="s">
        <v>67</v>
      </c>
      <c r="N39" s="17" t="s">
        <v>80</v>
      </c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0"/>
        <v/>
      </c>
      <c r="J71" s="15" t="str">
        <f t="shared" si="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0"/>
        <v/>
      </c>
      <c r="J72" s="15" t="str">
        <f t="shared" si="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0"/>
        <v/>
      </c>
      <c r="J73" s="15" t="str">
        <f t="shared" si="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0"/>
        <v/>
      </c>
      <c r="J74" s="15" t="str">
        <f t="shared" si="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0"/>
        <v/>
      </c>
      <c r="J75" s="15" t="str">
        <f t="shared" si="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0"/>
        <v/>
      </c>
      <c r="J76" s="15" t="str">
        <f t="shared" si="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0"/>
        <v/>
      </c>
      <c r="J77" s="15" t="str">
        <f t="shared" si="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0"/>
        <v/>
      </c>
      <c r="J78" s="15" t="str">
        <f t="shared" si="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0"/>
        <v/>
      </c>
      <c r="J79" s="15" t="str">
        <f t="shared" si="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ref="I80:I143" si="2">IF(SUM(B80:F80,H80)=0,"",SUM(B80:F80,H80))</f>
        <v/>
      </c>
      <c r="J80" s="15" t="str">
        <f t="shared" ref="J80:J143" si="3">IF(I80="","",1440-I80)</f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2"/>
        <v/>
      </c>
      <c r="J135" s="15" t="str">
        <f t="shared" si="3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"/>
        <v/>
      </c>
      <c r="J136" s="15" t="str">
        <f t="shared" si="3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2"/>
        <v/>
      </c>
      <c r="J137" s="15" t="str">
        <f t="shared" si="3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2"/>
        <v/>
      </c>
      <c r="J138" s="15" t="str">
        <f t="shared" si="3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2"/>
        <v/>
      </c>
      <c r="J139" s="15" t="str">
        <f t="shared" si="3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2"/>
        <v/>
      </c>
      <c r="J140" s="15" t="str">
        <f t="shared" si="3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2"/>
        <v/>
      </c>
      <c r="J141" s="15" t="str">
        <f t="shared" si="3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2"/>
        <v/>
      </c>
      <c r="J142" s="15" t="str">
        <f t="shared" si="3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2"/>
        <v/>
      </c>
      <c r="J143" s="15" t="str">
        <f t="shared" si="3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ref="I144:I207" si="4">IF(SUM(B144:F144,H144)=0,"",SUM(B144:F144,H144))</f>
        <v/>
      </c>
      <c r="J144" s="15" t="str">
        <f t="shared" ref="J144:J207" si="5">IF(I144="","",1440-I144)</f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4"/>
        <v/>
      </c>
      <c r="J199" s="15" t="str">
        <f t="shared" si="5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4"/>
        <v/>
      </c>
      <c r="J200" s="15" t="str">
        <f t="shared" si="5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4"/>
        <v/>
      </c>
      <c r="J201" s="15" t="str">
        <f t="shared" si="5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4"/>
        <v/>
      </c>
      <c r="J202" s="15" t="str">
        <f t="shared" si="5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4"/>
        <v/>
      </c>
      <c r="J203" s="15" t="str">
        <f t="shared" si="5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4"/>
        <v/>
      </c>
      <c r="J204" s="15" t="str">
        <f t="shared" si="5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4"/>
        <v/>
      </c>
      <c r="J205" s="15" t="str">
        <f t="shared" si="5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4"/>
        <v/>
      </c>
      <c r="J206" s="15" t="str">
        <f t="shared" si="5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4"/>
        <v/>
      </c>
      <c r="J207" s="15" t="str">
        <f t="shared" si="5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ref="I208:I271" si="6">IF(SUM(B208:F208,H208)=0,"",SUM(B208:F208,H208))</f>
        <v/>
      </c>
      <c r="J208" s="15" t="str">
        <f t="shared" ref="J208:J271" si="7">IF(I208="","",1440-I208)</f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6"/>
        <v/>
      </c>
      <c r="J263" s="15" t="str">
        <f t="shared" si="7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6"/>
        <v/>
      </c>
      <c r="J264" s="15" t="str">
        <f t="shared" si="7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6"/>
        <v/>
      </c>
      <c r="J265" s="15" t="str">
        <f t="shared" si="7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6"/>
        <v/>
      </c>
      <c r="J266" s="15" t="str">
        <f t="shared" si="7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6"/>
        <v/>
      </c>
      <c r="J267" s="15" t="str">
        <f t="shared" si="7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6"/>
        <v/>
      </c>
      <c r="J268" s="15" t="str">
        <f t="shared" si="7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6"/>
        <v/>
      </c>
      <c r="J269" s="15" t="str">
        <f t="shared" si="7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6"/>
        <v/>
      </c>
      <c r="J270" s="15" t="str">
        <f t="shared" si="7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6"/>
        <v/>
      </c>
      <c r="J271" s="15" t="str">
        <f t="shared" si="7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ref="I272:I335" si="8">IF(SUM(B272:F272,H272)=0,"",SUM(B272:F272,H272))</f>
        <v/>
      </c>
      <c r="J272" s="15" t="str">
        <f t="shared" ref="J272:J335" si="9">IF(I272="","",1440-I272)</f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8"/>
        <v/>
      </c>
      <c r="J327" s="15" t="str">
        <f t="shared" si="9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8"/>
        <v/>
      </c>
      <c r="J328" s="15" t="str">
        <f t="shared" si="9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8"/>
        <v/>
      </c>
      <c r="J329" s="15" t="str">
        <f t="shared" si="9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8"/>
        <v/>
      </c>
      <c r="J330" s="15" t="str">
        <f t="shared" si="9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8"/>
        <v/>
      </c>
      <c r="J331" s="15" t="str">
        <f t="shared" si="9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8"/>
        <v/>
      </c>
      <c r="J332" s="15" t="str">
        <f t="shared" si="9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8"/>
        <v/>
      </c>
      <c r="J333" s="15" t="str">
        <f t="shared" si="9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8"/>
        <v/>
      </c>
      <c r="J334" s="15" t="str">
        <f t="shared" si="9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8"/>
        <v/>
      </c>
      <c r="J335" s="15" t="str">
        <f t="shared" si="9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ref="I336:I399" si="10">IF(SUM(B336:F336,H336)=0,"",SUM(B336:F336,H336))</f>
        <v/>
      </c>
      <c r="J336" s="15" t="str">
        <f t="shared" ref="J336:J399" si="11">IF(I336="","",1440-I336)</f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0"/>
        <v/>
      </c>
      <c r="J391" s="15" t="str">
        <f t="shared" si="11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0"/>
        <v/>
      </c>
      <c r="J392" s="15" t="str">
        <f t="shared" si="11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0"/>
        <v/>
      </c>
      <c r="J393" s="15" t="str">
        <f t="shared" si="11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0"/>
        <v/>
      </c>
      <c r="J394" s="15" t="str">
        <f t="shared" si="11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0"/>
        <v/>
      </c>
      <c r="J395" s="15" t="str">
        <f t="shared" si="11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0"/>
        <v/>
      </c>
      <c r="J396" s="15" t="str">
        <f t="shared" si="11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0"/>
        <v/>
      </c>
      <c r="J397" s="15" t="str">
        <f t="shared" si="11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0"/>
        <v/>
      </c>
      <c r="J398" s="15" t="str">
        <f t="shared" si="11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0"/>
        <v/>
      </c>
      <c r="J399" s="15" t="str">
        <f t="shared" si="11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ref="I400:I411" si="12">IF(SUM(B400:F400,H400)=0,"",SUM(B400:F400,H400))</f>
        <v/>
      </c>
      <c r="J400" s="15" t="str">
        <f t="shared" ref="J400:J411" si="13">IF(I400="","",1440-I400)</f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  <row r="406" spans="1:14" x14ac:dyDescent="0.3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2"/>
        <v/>
      </c>
      <c r="J406" s="15" t="str">
        <f t="shared" si="13"/>
        <v/>
      </c>
      <c r="K406" s="16"/>
      <c r="L406" s="16"/>
      <c r="M406" s="16"/>
      <c r="N406" s="17"/>
    </row>
    <row r="407" spans="1:14" x14ac:dyDescent="0.3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2"/>
        <v/>
      </c>
      <c r="J407" s="15" t="str">
        <f t="shared" si="13"/>
        <v/>
      </c>
      <c r="K407" s="16"/>
      <c r="L407" s="16"/>
      <c r="M407" s="16"/>
      <c r="N407" s="17"/>
    </row>
    <row r="408" spans="1:14" x14ac:dyDescent="0.3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2"/>
        <v/>
      </c>
      <c r="J408" s="15" t="str">
        <f t="shared" si="13"/>
        <v/>
      </c>
      <c r="K408" s="16"/>
      <c r="L408" s="16"/>
      <c r="M408" s="16"/>
      <c r="N408" s="17"/>
    </row>
    <row r="409" spans="1:14" x14ac:dyDescent="0.3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2"/>
        <v/>
      </c>
      <c r="J409" s="15" t="str">
        <f t="shared" si="13"/>
        <v/>
      </c>
      <c r="K409" s="16"/>
      <c r="L409" s="16"/>
      <c r="M409" s="16"/>
      <c r="N409" s="17"/>
    </row>
    <row r="410" spans="1:14" x14ac:dyDescent="0.3">
      <c r="A410" s="13"/>
      <c r="B410" s="14"/>
      <c r="C410" s="14"/>
      <c r="D410" s="14"/>
      <c r="E410" s="14"/>
      <c r="F410" s="14"/>
      <c r="G410" s="14"/>
      <c r="H410" s="14"/>
      <c r="I410" s="15" t="str">
        <f t="shared" si="12"/>
        <v/>
      </c>
      <c r="J410" s="15" t="str">
        <f t="shared" si="13"/>
        <v/>
      </c>
      <c r="K410" s="16"/>
      <c r="L410" s="16"/>
      <c r="M410" s="16"/>
      <c r="N410" s="17"/>
    </row>
    <row r="411" spans="1:14" x14ac:dyDescent="0.3">
      <c r="A411" s="13"/>
      <c r="B411" s="14"/>
      <c r="C411" s="14"/>
      <c r="D411" s="14"/>
      <c r="E411" s="14"/>
      <c r="F411" s="14"/>
      <c r="G411" s="14"/>
      <c r="H411" s="14"/>
      <c r="I411" s="15" t="str">
        <f t="shared" si="12"/>
        <v/>
      </c>
      <c r="J411" s="15" t="str">
        <f t="shared" si="13"/>
        <v/>
      </c>
      <c r="K411" s="16"/>
      <c r="L411" s="16"/>
      <c r="M411" s="16"/>
      <c r="N41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1" xr:uid="{00000000-0002-0000-0100-000000000000}">
      <formula1>"Excellent,Good,Neutral,Low,Stressed"</formula1>
      <formula2>0</formula2>
    </dataValidation>
    <dataValidation type="list" allowBlank="1" prompt="Select today's satisfaction level" sqref="L6:L41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archanaanith052@gmail.com</cp:lastModifiedBy>
  <cp:revision>0</cp:revision>
  <dcterms:created xsi:type="dcterms:W3CDTF">2026-07-24T11:49:30Z</dcterms:created>
  <dcterms:modified xsi:type="dcterms:W3CDTF">2026-09-18T11:19:36Z</dcterms:modified>
  <dc:language>en-US</dc:language>
</cp:coreProperties>
</file>